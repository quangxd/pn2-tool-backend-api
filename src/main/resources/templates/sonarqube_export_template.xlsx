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VMo\pn2-tool-backend-api\src\main\resources\templates\"/>
    </mc:Choice>
  </mc:AlternateContent>
  <xr:revisionPtr revIDLastSave="0" documentId="8_{3188CACD-5720-49F4-91FC-0EF2941895D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1" r:id="rId1"/>
    <sheet name="README" sheetId="2" r:id="rId2"/>
    <sheet name="templa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CGqxfY0/tRmtCNYBzwsGx6BQxozzb4cple/8ikq7t14="/>
    </ext>
  </extLst>
</workbook>
</file>

<file path=xl/calcChain.xml><?xml version="1.0" encoding="utf-8"?>
<calcChain xmlns="http://schemas.openxmlformats.org/spreadsheetml/2006/main">
  <c r="K8" i="1" l="1"/>
  <c r="K7" i="1"/>
  <c r="I7" i="1"/>
  <c r="I9" i="1" s="1"/>
  <c r="K6" i="1"/>
  <c r="H6" i="1"/>
  <c r="B14" i="3"/>
  <c r="D12" i="3"/>
  <c r="B13" i="3" s="1"/>
  <c r="K5" i="1" s="1"/>
  <c r="O5" i="1" s="1"/>
  <c r="B12" i="3"/>
  <c r="B11" i="3"/>
  <c r="B10" i="3"/>
  <c r="H5" i="1" s="1"/>
  <c r="H9" i="1" s="1"/>
  <c r="B10" i="1" s="1"/>
  <c r="B9" i="3"/>
  <c r="M8" i="1"/>
  <c r="L8" i="1"/>
  <c r="J8" i="1"/>
  <c r="P8" i="1" s="1"/>
  <c r="I8" i="1"/>
  <c r="H8" i="1"/>
  <c r="G8" i="1"/>
  <c r="M7" i="1"/>
  <c r="L7" i="1"/>
  <c r="H7" i="1"/>
  <c r="G7" i="1"/>
  <c r="E7" i="1"/>
  <c r="D7" i="1"/>
  <c r="F7" i="1" s="1"/>
  <c r="C7" i="1"/>
  <c r="B7" i="1"/>
  <c r="A7" i="1"/>
  <c r="M6" i="1"/>
  <c r="L6" i="1"/>
  <c r="J6" i="1"/>
  <c r="P6" i="1" s="1"/>
  <c r="I6" i="1"/>
  <c r="G6" i="1"/>
  <c r="G9" i="1" s="1"/>
  <c r="B9" i="1" s="1"/>
  <c r="E6" i="1"/>
  <c r="E9" i="1" s="1"/>
  <c r="D6" i="1"/>
  <c r="F6" i="1" s="1"/>
  <c r="C6" i="1"/>
  <c r="C9" i="1" s="1"/>
  <c r="B6" i="1"/>
  <c r="A6" i="1"/>
  <c r="P5" i="1"/>
  <c r="M5" i="1"/>
  <c r="L5" i="1"/>
  <c r="L9" i="1" s="1"/>
  <c r="J5" i="1"/>
  <c r="I5" i="1"/>
  <c r="G5" i="1"/>
  <c r="F5" i="1"/>
  <c r="E5" i="1"/>
  <c r="D5" i="1"/>
  <c r="C5" i="1"/>
  <c r="B5" i="1"/>
  <c r="A5" i="1"/>
  <c r="D9" i="1" l="1"/>
  <c r="F9" i="1" s="1"/>
  <c r="B11" i="1" s="1"/>
  <c r="J7" i="1"/>
  <c r="O6" i="1"/>
  <c r="O8" i="1"/>
  <c r="P7" i="1" l="1"/>
  <c r="P9" i="1" s="1"/>
  <c r="O7" i="1"/>
  <c r="O9" i="1" s="1"/>
  <c r="J9" i="1"/>
  <c r="K9" i="1" l="1"/>
  <c r="B12" i="1" s="1"/>
</calcChain>
</file>

<file path=xl/sharedStrings.xml><?xml version="1.0" encoding="utf-8"?>
<sst xmlns="http://schemas.openxmlformats.org/spreadsheetml/2006/main" count="340" uniqueCount="158">
  <si>
    <t>SonarQube Dashboard (sample) - aggregated from service sheets</t>
  </si>
  <si>
    <t>Services Overview</t>
  </si>
  <si>
    <t>Service</t>
  </si>
  <si>
    <t>Project Key</t>
  </si>
  <si>
    <t>LOC</t>
  </si>
  <si>
    <t>Lines to Cover</t>
  </si>
  <si>
    <t>Covered Lines</t>
  </si>
  <si>
    <t>Coverage % (weighted)</t>
  </si>
  <si>
    <t>Bugs</t>
  </si>
  <si>
    <t>Vulnerabilities</t>
  </si>
  <si>
    <t>Code Smells</t>
  </si>
  <si>
    <t>Hotspots</t>
  </si>
  <si>
    <t>Hotspots Reviewed %</t>
  </si>
  <si>
    <t>Duplications %</t>
  </si>
  <si>
    <t>Last analysis</t>
  </si>
  <si>
    <t>Notes</t>
  </si>
  <si>
    <t>Reviewed Hotspots</t>
  </si>
  <si>
    <t>Total Hotspots</t>
  </si>
  <si>
    <t>Sample data</t>
  </si>
  <si>
    <t>Key KPIs</t>
  </si>
  <si>
    <t>Total Bugs</t>
  </si>
  <si>
    <t>-</t>
  </si>
  <si>
    <t>Total Vulnerabilities</t>
  </si>
  <si>
    <t>Overall Coverage (weighted)</t>
  </si>
  <si>
    <t>Hotspots Reviewed % (weighted)</t>
  </si>
  <si>
    <t>Charts (sample)</t>
  </si>
  <si>
    <t>SonarQube -&gt; Excel Export Template (for DEV implementation)</t>
  </si>
  <si>
    <t>Mục tiêu:</t>
  </si>
  <si>
    <t>- Workbook này là template để DEV export dữ liệu từ SonarQube Web API vào Excel.</t>
  </si>
  <si>
    <t>- Mỗi service/client là 1 sheet riêng, và 1 sheet 'Dashboard' tổng hợp.</t>
  </si>
  <si>
    <t>Nguyên tắc thiết kế (security-first):</t>
  </si>
  <si>
    <t>- Tool export nên chạy bên ngoài SonarQube server (không cài plugin), dùng token quyền tối thiểu (read-only).</t>
  </si>
  <si>
    <t>Cấu trúc mỗi service sheet:</t>
  </si>
  <si>
    <t>1) Metadata (Service Name, Project Key, Branch, Last analysis)</t>
  </si>
  <si>
    <t>2) Dashboard Feed (block cố định để Dashboard đọc, KHÔNG đổi vị trí ô)</t>
  </si>
  <si>
    <t>3) Issue List (bảng dạng Table để filter/sort)</t>
  </si>
  <si>
    <t>Gợi ý API (tham khảo):</t>
  </si>
  <si>
    <t>- Measures: /api/measures/component?component=&lt;projectKey&gt;&amp;metricKeys=...</t>
  </si>
  <si>
    <t>- Issues: /api/issues/search?componentKeys=&lt;projectKey&gt;&amp;types=BUG,VULNERABILITY,CODE_SMELL,SECURITY_HOTSPOT&amp;ps=500&amp;p=1</t>
  </si>
  <si>
    <t>- Hotspots (tuỳ version): /api/hotspots/search?projectKey=&lt;projectKey&gt;</t>
  </si>
  <si>
    <t>Gợi ý mapping fields vào bảng Issues:</t>
  </si>
  <si>
    <t>- issue key, type, severity, status, rule, component, line, message, effort, tags, creationDate, updateDate, author</t>
  </si>
  <si>
    <t>Gợi ý cache/hiệu năng:</t>
  </si>
  <si>
    <t>- Nếu project lớn, nên export theo paging (p, ps), và ghi theo streaming (openpyxl write-only hoặc pandas + ExcelWriter).</t>
  </si>
  <si>
    <t>Sheet Dashboard đã có công thức + biểu đồ minh hoạ dựa trên các ô 'Dashboard Feed' của từng service.</t>
  </si>
  <si>
    <t>Service Report - svc-auth</t>
  </si>
  <si>
    <t>Service Name</t>
  </si>
  <si>
    <t>svc-auth</t>
  </si>
  <si>
    <t>pn2-auth-service</t>
  </si>
  <si>
    <t>Branch</t>
  </si>
  <si>
    <t>main</t>
  </si>
  <si>
    <t>Dashboard Feed (DO NOT MOVE THESE CELLS)</t>
  </si>
  <si>
    <t>Security Hotspots</t>
  </si>
  <si>
    <t>Reviewed hotspots (SAFE+FIX)</t>
  </si>
  <si>
    <t>Coverage %</t>
  </si>
  <si>
    <t>Lines of Code</t>
  </si>
  <si>
    <t>Issues (sample data) - DEV will replace with exported data</t>
  </si>
  <si>
    <t>Issue Key</t>
  </si>
  <si>
    <t>Type</t>
  </si>
  <si>
    <t>Severity</t>
  </si>
  <si>
    <t>Status</t>
  </si>
  <si>
    <t>Rule</t>
  </si>
  <si>
    <t>Component</t>
  </si>
  <si>
    <t>Line</t>
  </si>
  <si>
    <t>Message</t>
  </si>
  <si>
    <t>Effort (min)</t>
  </si>
  <si>
    <t>Tags</t>
  </si>
  <si>
    <t>Hotspot Review</t>
  </si>
  <si>
    <t>Created</t>
  </si>
  <si>
    <t>Updated</t>
  </si>
  <si>
    <t>Author</t>
  </si>
  <si>
    <t>SVC-AUTH-1000</t>
  </si>
  <si>
    <t>BUG</t>
  </si>
  <si>
    <t>CRITICAL</t>
  </si>
  <si>
    <t>OPEN</t>
  </si>
  <si>
    <t>java:S2259</t>
  </si>
  <si>
    <t>src/main/java/com/company/svc-auth/controller</t>
  </si>
  <si>
    <t>Possible NullPointerException; add null-check or Optional</t>
  </si>
  <si>
    <t>db</t>
  </si>
  <si>
    <t>binh.tran</t>
  </si>
  <si>
    <t>SVC-AUTH-1001</t>
  </si>
  <si>
    <t>CODE_SMELL</t>
  </si>
  <si>
    <t>MINOR</t>
  </si>
  <si>
    <t>java:S1192</t>
  </si>
  <si>
    <t>Refactor method to reduce cognitive complexity</t>
  </si>
  <si>
    <t>performance</t>
  </si>
  <si>
    <t>an.nguyen</t>
  </si>
  <si>
    <t>SVC-AUTH-1002</t>
  </si>
  <si>
    <t>RESOLVED</t>
  </si>
  <si>
    <t>src/main/java/com/company/svc-auth/config</t>
  </si>
  <si>
    <t>api,auth,performance</t>
  </si>
  <si>
    <t>chi.le</t>
  </si>
  <si>
    <t>SVC-AUTH-1003</t>
  </si>
  <si>
    <t>MAJOR</t>
  </si>
  <si>
    <t>java:S106</t>
  </si>
  <si>
    <t>db,logging,security</t>
  </si>
  <si>
    <t>SVC-AUTH-1004</t>
  </si>
  <si>
    <t>java:S2095</t>
  </si>
  <si>
    <t>src/main/java/com/company/svc-auth/repository</t>
  </si>
  <si>
    <t>db,performance,security</t>
  </si>
  <si>
    <t>duong.pham</t>
  </si>
  <si>
    <t>SVC-AUTH-1005</t>
  </si>
  <si>
    <t>src/main/java/com/company/svc-auth/service</t>
  </si>
  <si>
    <t>auth,logging,performance</t>
  </si>
  <si>
    <t>SVC-AUTH-1006</t>
  </si>
  <si>
    <t>SECURITY_HOTSPOT</t>
  </si>
  <si>
    <t>java:S5144</t>
  </si>
  <si>
    <t>Review use of sensitive method; validate input and access control</t>
  </si>
  <si>
    <t>logging,security</t>
  </si>
  <si>
    <t>TO_REVIEW</t>
  </si>
  <si>
    <t>SVC-AUTH-1007</t>
  </si>
  <si>
    <t>java:S2142</t>
  </si>
  <si>
    <t>api,cleanup</t>
  </si>
  <si>
    <t>SVC-AUTH-1008</t>
  </si>
  <si>
    <t>api,logging,security</t>
  </si>
  <si>
    <t>SVC-AUTH-1009</t>
  </si>
  <si>
    <t>cleanup,logging,security</t>
  </si>
  <si>
    <t>SVC-AUTH-1010</t>
  </si>
  <si>
    <t>api,auth,bugfix</t>
  </si>
  <si>
    <t>ha.ngo</t>
  </si>
  <si>
    <t>SVC-AUTH-1011</t>
  </si>
  <si>
    <t>api,security</t>
  </si>
  <si>
    <t>SVC-AUTH-1012</t>
  </si>
  <si>
    <t>api,bugfix,logging</t>
  </si>
  <si>
    <t>SVC-AUTH-1013</t>
  </si>
  <si>
    <t>INFO</t>
  </si>
  <si>
    <t>security</t>
  </si>
  <si>
    <t>SVC-AUTH-1014</t>
  </si>
  <si>
    <t>CONFIRMED</t>
  </si>
  <si>
    <t>auth,bugfix,logging</t>
  </si>
  <si>
    <t>SVC-AUTH-1015</t>
  </si>
  <si>
    <t>bugfix,logging,security</t>
  </si>
  <si>
    <t>SVC-AUTH-1016</t>
  </si>
  <si>
    <t>java:S4502</t>
  </si>
  <si>
    <t>auth,db,performance</t>
  </si>
  <si>
    <t>SVC-AUTH-1017</t>
  </si>
  <si>
    <t>java:S3776</t>
  </si>
  <si>
    <t>logging</t>
  </si>
  <si>
    <t>SVC-AUTH-1018</t>
  </si>
  <si>
    <t>api,auth,db</t>
  </si>
  <si>
    <t>SVC-AUTH-1019</t>
  </si>
  <si>
    <t>BLOCKER</t>
  </si>
  <si>
    <t>REOPENED</t>
  </si>
  <si>
    <t>cleanup,db,security</t>
  </si>
  <si>
    <t>SVC-AUTH-1020</t>
  </si>
  <si>
    <t>auth</t>
  </si>
  <si>
    <t>SVC-AUTH-1021</t>
  </si>
  <si>
    <t>api,logging</t>
  </si>
  <si>
    <t>SVC-AUTH-1022</t>
  </si>
  <si>
    <t>api,db</t>
  </si>
  <si>
    <t>SVC-AUTH-1023</t>
  </si>
  <si>
    <t>SVC-AUTH-1024</t>
  </si>
  <si>
    <t>bugfix,cleanup</t>
  </si>
  <si>
    <t>SVC-AUTH-1025</t>
  </si>
  <si>
    <t>auth,cleanup</t>
  </si>
  <si>
    <t>SVC-AUTH-1026</t>
  </si>
  <si>
    <t>src/test/java/com/company/svc-auth</t>
  </si>
  <si>
    <t>SVC-AUTH-1027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</si>
</sst>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yyyy\-mm\-dd\ hh:mm"/>
    <numFmt numFmtId="166" formatCode="yyyy\-mm\-dd"/>
  </numFmts>
  <fonts count="10" x14ac:knownFonts="1">
    <font>
      <sz val="11"/>
      <color theme="1"/>
      <name val="Calibri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theme="1"/>
      <name val="Calibri"/>
    </font>
    <font>
      <b/>
      <sz val="11"/>
      <color theme="1"/>
      <name val="Calibri"/>
    </font>
    <font>
      <sz val="10"/>
      <color rgb="FF0000FF"/>
      <name val="Calibri"/>
    </font>
    <font>
      <sz val="10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4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5" fontId="5" fillId="0" borderId="4" xfId="0" applyNumberFormat="1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3" fontId="6" fillId="5" borderId="4" xfId="0" applyNumberFormat="1" applyFont="1" applyFill="1" applyBorder="1" applyAlignment="1">
      <alignment horizontal="right" vertical="center" wrapText="1"/>
    </xf>
    <xf numFmtId="164" fontId="6" fillId="5" borderId="4" xfId="0" applyNumberFormat="1" applyFont="1" applyFill="1" applyBorder="1" applyAlignment="1">
      <alignment horizontal="right"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165" fontId="8" fillId="6" borderId="4" xfId="0" applyNumberFormat="1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right" vertical="center" wrapText="1"/>
    </xf>
    <xf numFmtId="165" fontId="5" fillId="0" borderId="4" xfId="0" applyNumberFormat="1" applyFont="1" applyBorder="1" applyAlignment="1">
      <alignment horizontal="righ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 vertical="center" wrapText="1"/>
    </xf>
    <xf numFmtId="166" fontId="5" fillId="0" borderId="4" xfId="0" applyNumberFormat="1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3" fillId="3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svc-auth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svc-order-style" pivot="0" count="3" xr9:uid="{00000000-0011-0000-FFFF-FFFF01000000}">
      <tableStyleElement type="headerRow" dxfId="13"/>
      <tableStyleElement type="firstRowStripe" dxfId="12"/>
      <tableStyleElement type="secondRowStripe" dxfId="11"/>
    </tableStyle>
    <tableStyle name="svc-payment-style" pivot="0" count="3" xr9:uid="{00000000-0011-0000-FFFF-FFFF02000000}">
      <tableStyleElement type="headerRow" dxfId="10"/>
      <tableStyleElement type="firstRowStripe" dxfId="9"/>
      <tableStyleElement type="secondRowStripe" dxfId="8"/>
    </tableStyle>
    <tableStyle name="svc-notification-style" pivot="0" count="3" xr9:uid="{00000000-0011-0000-FFFF-FFFF03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Bugs by Service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Dashboard!$G$4</c:f>
              <c:strCache>
                <c:ptCount val="1"/>
                <c:pt idx="0">
                  <c:v>Bugs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Dashboard!$A$5:$A$8</c:f>
              <c:strCache>
                <c:ptCount val="4"/>
                <c:pt idx="0">
                  <c:v>svc-auth</c:v>
                </c:pt>
                <c:pt idx="1">
                  <c:v>#REF!</c:v>
                </c:pt>
                <c:pt idx="2">
                  <c:v>#REF!</c:v>
                </c:pt>
                <c:pt idx="3">
                  <c:v>Key KPIs</c:v>
                </c:pt>
              </c:strCache>
            </c:strRef>
          </c:cat>
          <c:val>
            <c:numRef>
              <c:f>Dashboard!$G$5:$G$8</c:f>
              <c:numCache>
                <c:formatCode>#,##0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90-4F88-9FEC-C4B3B23E8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1854361"/>
        <c:axId val="172866818"/>
      </c:barChart>
      <c:catAx>
        <c:axId val="2071854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866818"/>
        <c:crosses val="autoZero"/>
        <c:auto val="1"/>
        <c:lblAlgn val="ctr"/>
        <c:lblOffset val="100"/>
        <c:noMultiLvlLbl val="1"/>
      </c:catAx>
      <c:valAx>
        <c:axId val="172866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18543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Coverage % by Service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Dashboard!$F$4</c:f>
              <c:strCache>
                <c:ptCount val="1"/>
                <c:pt idx="0">
                  <c:v>Coverage % (weighted)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Dashboard!$A$5:$A$8</c:f>
              <c:strCache>
                <c:ptCount val="4"/>
                <c:pt idx="0">
                  <c:v>svc-auth</c:v>
                </c:pt>
                <c:pt idx="1">
                  <c:v>#REF!</c:v>
                </c:pt>
                <c:pt idx="2">
                  <c:v>#REF!</c:v>
                </c:pt>
                <c:pt idx="3">
                  <c:v>Key KPIs</c:v>
                </c:pt>
              </c:strCache>
            </c:strRef>
          </c:cat>
          <c:val>
            <c:numRef>
              <c:f>Dashboard!$F$5:$F$8</c:f>
              <c:numCache>
                <c:formatCode>0.0%</c:formatCode>
                <c:ptCount val="4"/>
                <c:pt idx="0">
                  <c:v>0.29285714285714287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C-4E46-BD9E-D204DA3FA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300488"/>
        <c:axId val="296214533"/>
      </c:lineChart>
      <c:catAx>
        <c:axId val="175630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6214533"/>
        <c:crosses val="autoZero"/>
        <c:auto val="1"/>
        <c:lblAlgn val="ctr"/>
        <c:lblOffset val="100"/>
        <c:noMultiLvlLbl val="1"/>
      </c:catAx>
      <c:valAx>
        <c:axId val="296214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Coverage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63004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477000" cy="2876550"/>
    <xdr:graphicFrame macro="">
      <xdr:nvGraphicFramePr>
        <xdr:cNvPr id="1163165801" name="Chart 1">
          <a:extLst>
            <a:ext uri="{FF2B5EF4-FFF2-40B4-BE49-F238E27FC236}">
              <a16:creationId xmlns:a16="http://schemas.microsoft.com/office/drawing/2014/main" id="{00000000-0008-0000-0000-000069805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14</xdr:row>
      <xdr:rowOff>0</xdr:rowOff>
    </xdr:from>
    <xdr:ext cx="6477000" cy="2876550"/>
    <xdr:graphicFrame macro="">
      <xdr:nvGraphicFramePr>
        <xdr:cNvPr id="826676313" name="Chart 2">
          <a:extLst>
            <a:ext uri="{FF2B5EF4-FFF2-40B4-BE49-F238E27FC236}">
              <a16:creationId xmlns:a16="http://schemas.microsoft.com/office/drawing/2014/main" id="{00000000-0008-0000-0000-000059144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3:N51">
  <tableColumns count="14">
    <tableColumn id="1" xr3:uid="{00000000-0010-0000-0000-000001000000}" name="Issue Key"/>
    <tableColumn id="2" xr3:uid="{00000000-0010-0000-0000-000002000000}" name="Type"/>
    <tableColumn id="3" xr3:uid="{00000000-0010-0000-0000-000003000000}" name="Severity"/>
    <tableColumn id="4" xr3:uid="{00000000-0010-0000-0000-000004000000}" name="Status"/>
    <tableColumn id="5" xr3:uid="{00000000-0010-0000-0000-000005000000}" name="Rule"/>
    <tableColumn id="6" xr3:uid="{00000000-0010-0000-0000-000006000000}" name="Component"/>
    <tableColumn id="7" xr3:uid="{00000000-0010-0000-0000-000007000000}" name="Line"/>
    <tableColumn id="8" xr3:uid="{00000000-0010-0000-0000-000008000000}" name="Message"/>
    <tableColumn id="9" xr3:uid="{00000000-0010-0000-0000-000009000000}" name="Effort (min)"/>
    <tableColumn id="10" xr3:uid="{00000000-0010-0000-0000-00000A000000}" name="Tags"/>
    <tableColumn id="11" xr3:uid="{00000000-0010-0000-0000-00000B000000}" name="Hotspot Review"/>
    <tableColumn id="12" xr3:uid="{00000000-0010-0000-0000-00000C000000}" name="Created"/>
    <tableColumn id="13" xr3:uid="{00000000-0010-0000-0000-00000D000000}" name="Updated"/>
    <tableColumn id="14" xr3:uid="{00000000-0010-0000-0000-00000E000000}" name="Author"/>
  </tableColumns>
  <tableStyleInfo name="svc-aut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8" customWidth="1"/>
    <col min="2" max="2" width="26" customWidth="1"/>
    <col min="3" max="3" width="10" customWidth="1"/>
    <col min="4" max="5" width="14" customWidth="1"/>
    <col min="6" max="6" width="16" customWidth="1"/>
    <col min="7" max="7" width="10" customWidth="1"/>
    <col min="8" max="8" width="16" customWidth="1"/>
    <col min="9" max="9" width="14" customWidth="1"/>
    <col min="10" max="10" width="10" customWidth="1"/>
    <col min="11" max="11" width="18" customWidth="1"/>
    <col min="12" max="12" width="14" customWidth="1"/>
    <col min="13" max="14" width="18" customWidth="1"/>
    <col min="15" max="16" width="16" customWidth="1"/>
    <col min="17" max="26" width="8.7109375" customWidth="1"/>
  </cols>
  <sheetData>
    <row r="1" spans="1:16" ht="27.75" customHeight="1" x14ac:dyDescent="0.2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</row>
    <row r="3" spans="1:16" ht="19.5" customHeight="1" x14ac:dyDescent="0.25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</row>
    <row r="4" spans="1:16" ht="18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x14ac:dyDescent="0.25">
      <c r="A5" s="2" t="str">
        <f>template!B3</f>
        <v>svc-auth</v>
      </c>
      <c r="B5" s="2" t="str">
        <f>template!B4</f>
        <v>pn2-auth-service</v>
      </c>
      <c r="C5" s="3">
        <f>template!B16</f>
        <v>9500</v>
      </c>
      <c r="D5" s="3">
        <f>template!B17</f>
        <v>2800</v>
      </c>
      <c r="E5" s="3">
        <f>template!B18</f>
        <v>820</v>
      </c>
      <c r="F5" s="4">
        <f t="shared" ref="F5:F7" si="0">IF(D5=0,0,E5/D5)</f>
        <v>0.29285714285714287</v>
      </c>
      <c r="G5" s="3">
        <f>template!B9</f>
        <v>10</v>
      </c>
      <c r="H5" s="3">
        <f>template!B10</f>
        <v>0</v>
      </c>
      <c r="I5" s="3">
        <f>template!B11</f>
        <v>14</v>
      </c>
      <c r="J5" s="3">
        <f>template!B12</f>
        <v>4</v>
      </c>
      <c r="K5" s="4">
        <f>template!B13</f>
        <v>0</v>
      </c>
      <c r="L5" s="4">
        <f>template!B15</f>
        <v>1.2999999999999999E-2</v>
      </c>
      <c r="M5" s="5">
        <f>template!B19</f>
        <v>46038.340277777781</v>
      </c>
      <c r="N5" s="2" t="s">
        <v>18</v>
      </c>
      <c r="O5" s="3">
        <f t="shared" ref="O5:O8" si="1">ROUND(J5*K5,0)</f>
        <v>0</v>
      </c>
      <c r="P5" s="3">
        <f t="shared" ref="P5:P8" si="2">J5</f>
        <v>4</v>
      </c>
    </row>
    <row r="6" spans="1:16" x14ac:dyDescent="0.25">
      <c r="A6" s="2" t="e">
        <f>#REF!</f>
        <v>#REF!</v>
      </c>
      <c r="B6" s="2" t="e">
        <f>#REF!</f>
        <v>#REF!</v>
      </c>
      <c r="C6" s="3" t="e">
        <f>#REF!</f>
        <v>#REF!</v>
      </c>
      <c r="D6" s="3" t="e">
        <f>#REF!</f>
        <v>#REF!</v>
      </c>
      <c r="E6" s="3" t="e">
        <f>#REF!</f>
        <v>#REF!</v>
      </c>
      <c r="F6" s="4" t="e">
        <f t="shared" si="0"/>
        <v>#REF!</v>
      </c>
      <c r="G6" s="3" t="e">
        <f>#REF!</f>
        <v>#REF!</v>
      </c>
      <c r="H6" s="3" t="e">
        <f>#REF!</f>
        <v>#REF!</v>
      </c>
      <c r="I6" s="3" t="e">
        <f>#REF!</f>
        <v>#REF!</v>
      </c>
      <c r="J6" s="3" t="e">
        <f>#REF!</f>
        <v>#REF!</v>
      </c>
      <c r="K6" s="4" t="e">
        <f>#REF!</f>
        <v>#REF!</v>
      </c>
      <c r="L6" s="4" t="e">
        <f>#REF!</f>
        <v>#REF!</v>
      </c>
      <c r="M6" s="5" t="e">
        <f>#REF!</f>
        <v>#REF!</v>
      </c>
      <c r="N6" s="2" t="s">
        <v>18</v>
      </c>
      <c r="O6" s="3" t="e">
        <f t="shared" si="1"/>
        <v>#REF!</v>
      </c>
      <c r="P6" s="3" t="e">
        <f t="shared" si="2"/>
        <v>#REF!</v>
      </c>
    </row>
    <row r="7" spans="1:16" x14ac:dyDescent="0.25">
      <c r="A7" s="2" t="e">
        <f>#REF!</f>
        <v>#REF!</v>
      </c>
      <c r="B7" s="2" t="e">
        <f>#REF!</f>
        <v>#REF!</v>
      </c>
      <c r="C7" s="3" t="e">
        <f>#REF!</f>
        <v>#REF!</v>
      </c>
      <c r="D7" s="3" t="e">
        <f>#REF!</f>
        <v>#REF!</v>
      </c>
      <c r="E7" s="3" t="e">
        <f>#REF!</f>
        <v>#REF!</v>
      </c>
      <c r="F7" s="4" t="e">
        <f t="shared" si="0"/>
        <v>#REF!</v>
      </c>
      <c r="G7" s="3" t="e">
        <f>#REF!</f>
        <v>#REF!</v>
      </c>
      <c r="H7" s="3" t="e">
        <f>#REF!</f>
        <v>#REF!</v>
      </c>
      <c r="I7" s="3" t="e">
        <f>#REF!</f>
        <v>#REF!</v>
      </c>
      <c r="J7" s="3" t="e">
        <f>#REF!</f>
        <v>#REF!</v>
      </c>
      <c r="K7" s="4" t="e">
        <f>#REF!</f>
        <v>#REF!</v>
      </c>
      <c r="L7" s="4" t="e">
        <f>#REF!</f>
        <v>#REF!</v>
      </c>
      <c r="M7" s="5" t="e">
        <f>#REF!</f>
        <v>#REF!</v>
      </c>
      <c r="N7" s="2" t="s">
        <v>18</v>
      </c>
      <c r="O7" s="3" t="e">
        <f t="shared" si="1"/>
        <v>#REF!</v>
      </c>
      <c r="P7" s="3" t="e">
        <f t="shared" si="2"/>
        <v>#REF!</v>
      </c>
    </row>
    <row r="8" spans="1:16" x14ac:dyDescent="0.25">
      <c r="A8" s="24" t="s">
        <v>19</v>
      </c>
      <c r="B8" s="25"/>
      <c r="C8" s="25"/>
      <c r="D8" s="25"/>
      <c r="E8" s="25"/>
      <c r="F8" s="26"/>
      <c r="G8" s="3" t="e">
        <f>#REF!</f>
        <v>#REF!</v>
      </c>
      <c r="H8" s="3" t="e">
        <f>#REF!</f>
        <v>#REF!</v>
      </c>
      <c r="I8" s="3" t="e">
        <f>#REF!</f>
        <v>#REF!</v>
      </c>
      <c r="J8" s="3" t="e">
        <f>#REF!</f>
        <v>#REF!</v>
      </c>
      <c r="K8" s="4" t="e">
        <f>#REF!</f>
        <v>#REF!</v>
      </c>
      <c r="L8" s="4" t="e">
        <f>#REF!</f>
        <v>#REF!</v>
      </c>
      <c r="M8" s="5" t="e">
        <f>#REF!</f>
        <v>#REF!</v>
      </c>
      <c r="N8" s="2" t="s">
        <v>18</v>
      </c>
      <c r="O8" s="3" t="e">
        <f t="shared" si="1"/>
        <v>#REF!</v>
      </c>
      <c r="P8" s="3" t="e">
        <f t="shared" si="2"/>
        <v>#REF!</v>
      </c>
    </row>
    <row r="9" spans="1:16" x14ac:dyDescent="0.25">
      <c r="A9" s="6" t="s">
        <v>20</v>
      </c>
      <c r="B9" s="7" t="e">
        <f>G9</f>
        <v>#REF!</v>
      </c>
      <c r="C9" s="7" t="e">
        <f t="shared" ref="C9:E9" si="3">SUM(C5:C8)</f>
        <v>#REF!</v>
      </c>
      <c r="D9" s="7" t="e">
        <f t="shared" si="3"/>
        <v>#REF!</v>
      </c>
      <c r="E9" s="7" t="e">
        <f t="shared" si="3"/>
        <v>#REF!</v>
      </c>
      <c r="F9" s="8" t="e">
        <f>IF(D9=0,0,E9/D9)</f>
        <v>#REF!</v>
      </c>
      <c r="G9" s="7" t="e">
        <f t="shared" ref="G9:J9" si="4">SUM(G5:G8)</f>
        <v>#REF!</v>
      </c>
      <c r="H9" s="7" t="e">
        <f t="shared" si="4"/>
        <v>#REF!</v>
      </c>
      <c r="I9" s="7" t="e">
        <f t="shared" si="4"/>
        <v>#REF!</v>
      </c>
      <c r="J9" s="7" t="e">
        <f t="shared" si="4"/>
        <v>#REF!</v>
      </c>
      <c r="K9" s="8" t="e">
        <f>IF(P9=0,1,O9/P9)</f>
        <v>#REF!</v>
      </c>
      <c r="L9" s="8" t="e">
        <f>AVERAGE(L5:L8)</f>
        <v>#REF!</v>
      </c>
      <c r="M9" s="6" t="s">
        <v>21</v>
      </c>
      <c r="N9" s="6"/>
      <c r="O9" s="9" t="e">
        <f t="shared" ref="O9:P9" si="5">SUM(O5:O8)</f>
        <v>#REF!</v>
      </c>
      <c r="P9" s="9" t="e">
        <f t="shared" si="5"/>
        <v>#REF!</v>
      </c>
    </row>
    <row r="10" spans="1:16" x14ac:dyDescent="0.25">
      <c r="A10" s="10" t="s">
        <v>22</v>
      </c>
      <c r="B10" s="7" t="e">
        <f>H9</f>
        <v>#REF!</v>
      </c>
    </row>
    <row r="11" spans="1:16" ht="25.5" x14ac:dyDescent="0.25">
      <c r="A11" s="10" t="s">
        <v>23</v>
      </c>
      <c r="B11" s="8" t="e">
        <f>F9</f>
        <v>#REF!</v>
      </c>
    </row>
    <row r="12" spans="1:16" ht="25.5" x14ac:dyDescent="0.25">
      <c r="A12" s="10" t="s">
        <v>24</v>
      </c>
      <c r="B12" s="8" t="e">
        <f>K9</f>
        <v>#REF!</v>
      </c>
    </row>
    <row r="14" spans="1:16" x14ac:dyDescent="0.25">
      <c r="A14" s="27" t="s">
        <v>25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8:F8"/>
    <mergeCell ref="A14:N14"/>
    <mergeCell ref="A3:P3"/>
    <mergeCell ref="A1:P1"/>
  </mergeCells>
  <conditionalFormatting sqref="F5:F8">
    <cfRule type="cellIs" dxfId="4" priority="1" operator="lessThan">
      <formula>0.5</formula>
    </cfRule>
  </conditionalFormatting>
  <conditionalFormatting sqref="K5:K8">
    <cfRule type="cellIs" dxfId="3" priority="2" operator="lessThan">
      <formula>0.8</formula>
    </cfRule>
  </conditionalFormatting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workbookViewId="0"/>
  </sheetViews>
  <sheetFormatPr defaultColWidth="14.42578125" defaultRowHeight="15" customHeight="1" x14ac:dyDescent="0.25"/>
  <cols>
    <col min="1" max="1" width="95" customWidth="1"/>
    <col min="2" max="6" width="18" customWidth="1"/>
    <col min="7" max="26" width="8.7109375" customWidth="1"/>
  </cols>
  <sheetData>
    <row r="1" spans="1:6" ht="27.75" customHeight="1" x14ac:dyDescent="0.25">
      <c r="A1" s="30" t="s">
        <v>26</v>
      </c>
      <c r="B1" s="28"/>
      <c r="C1" s="28"/>
      <c r="D1" s="28"/>
      <c r="E1" s="28"/>
      <c r="F1" s="29"/>
    </row>
    <row r="3" spans="1:6" x14ac:dyDescent="0.25">
      <c r="A3" s="11" t="s">
        <v>27</v>
      </c>
    </row>
    <row r="4" spans="1:6" x14ac:dyDescent="0.25">
      <c r="A4" s="12" t="s">
        <v>28</v>
      </c>
    </row>
    <row r="5" spans="1:6" x14ac:dyDescent="0.25">
      <c r="A5" s="12" t="s">
        <v>29</v>
      </c>
    </row>
    <row r="6" spans="1:6" x14ac:dyDescent="0.25">
      <c r="A6" s="11"/>
    </row>
    <row r="7" spans="1:6" x14ac:dyDescent="0.25">
      <c r="A7" s="11" t="s">
        <v>30</v>
      </c>
    </row>
    <row r="8" spans="1:6" x14ac:dyDescent="0.25">
      <c r="A8" s="12" t="s">
        <v>31</v>
      </c>
    </row>
    <row r="9" spans="1:6" x14ac:dyDescent="0.25">
      <c r="A9" s="11"/>
    </row>
    <row r="10" spans="1:6" x14ac:dyDescent="0.25">
      <c r="A10" s="11" t="s">
        <v>32</v>
      </c>
    </row>
    <row r="11" spans="1:6" x14ac:dyDescent="0.25">
      <c r="A11" s="12" t="s">
        <v>33</v>
      </c>
    </row>
    <row r="12" spans="1:6" x14ac:dyDescent="0.25">
      <c r="A12" s="12" t="s">
        <v>34</v>
      </c>
    </row>
    <row r="13" spans="1:6" x14ac:dyDescent="0.25">
      <c r="A13" s="12" t="s">
        <v>35</v>
      </c>
    </row>
    <row r="14" spans="1:6" x14ac:dyDescent="0.25">
      <c r="A14" s="11"/>
    </row>
    <row r="15" spans="1:6" x14ac:dyDescent="0.25">
      <c r="A15" s="11" t="s">
        <v>36</v>
      </c>
    </row>
    <row r="16" spans="1:6" x14ac:dyDescent="0.25">
      <c r="A16" s="12" t="s">
        <v>37</v>
      </c>
    </row>
    <row r="17" spans="1:1" ht="38.25" x14ac:dyDescent="0.25">
      <c r="A17" s="12" t="s">
        <v>38</v>
      </c>
    </row>
    <row r="18" spans="1:1" x14ac:dyDescent="0.25">
      <c r="A18" s="12" t="s">
        <v>39</v>
      </c>
    </row>
    <row r="19" spans="1:1" x14ac:dyDescent="0.25">
      <c r="A19" s="11"/>
    </row>
    <row r="20" spans="1:1" x14ac:dyDescent="0.25">
      <c r="A20" s="11" t="s">
        <v>40</v>
      </c>
    </row>
    <row r="21" spans="1:1" ht="15.75" customHeight="1" x14ac:dyDescent="0.25">
      <c r="A21" s="12" t="s">
        <v>41</v>
      </c>
    </row>
    <row r="22" spans="1:1" ht="15.75" customHeight="1" x14ac:dyDescent="0.25">
      <c r="A22" s="11"/>
    </row>
    <row r="23" spans="1:1" ht="15.75" customHeight="1" x14ac:dyDescent="0.25">
      <c r="A23" s="11" t="s">
        <v>42</v>
      </c>
    </row>
    <row r="24" spans="1:1" ht="15.75" customHeight="1" x14ac:dyDescent="0.25">
      <c r="A24" s="12" t="s">
        <v>43</v>
      </c>
    </row>
    <row r="25" spans="1:1" ht="15.75" customHeight="1" x14ac:dyDescent="0.25">
      <c r="A25" s="11"/>
    </row>
    <row r="26" spans="1:1" ht="15.75" customHeight="1" x14ac:dyDescent="0.25">
      <c r="A26" s="12" t="s">
        <v>44</v>
      </c>
    </row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showGridLines="0" tabSelected="1" workbookViewId="0">
      <pane ySplit="23" topLeftCell="A24" activePane="bottomLeft" state="frozen"/>
      <selection pane="bottomLeft" activeCell="B25" sqref="B25"/>
    </sheetView>
  </sheetViews>
  <sheetFormatPr defaultColWidth="14.42578125" defaultRowHeight="15" customHeight="1" x14ac:dyDescent="0.25"/>
  <cols>
    <col min="1" max="1" width="14" customWidth="1"/>
    <col min="2" max="2" width="18" customWidth="1"/>
    <col min="3" max="4" width="12" customWidth="1"/>
    <col min="5" max="5" width="14" customWidth="1"/>
    <col min="6" max="6" width="38" customWidth="1"/>
    <col min="7" max="7" width="7" customWidth="1"/>
    <col min="8" max="8" width="48" customWidth="1"/>
    <col min="9" max="9" width="12" customWidth="1"/>
    <col min="10" max="10" width="20" customWidth="1"/>
    <col min="11" max="11" width="14" customWidth="1"/>
    <col min="12" max="13" width="12" customWidth="1"/>
    <col min="14" max="14" width="14" customWidth="1"/>
    <col min="15" max="26" width="8.7109375" customWidth="1"/>
  </cols>
  <sheetData>
    <row r="1" spans="1:14" ht="27.75" customHeight="1" x14ac:dyDescent="0.25">
      <c r="A1" s="30" t="s">
        <v>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</row>
    <row r="3" spans="1:14" x14ac:dyDescent="0.25">
      <c r="A3" s="13" t="s">
        <v>46</v>
      </c>
      <c r="B3" s="14" t="s">
        <v>47</v>
      </c>
    </row>
    <row r="4" spans="1:14" x14ac:dyDescent="0.25">
      <c r="A4" s="13" t="s">
        <v>3</v>
      </c>
      <c r="B4" s="14" t="s">
        <v>48</v>
      </c>
    </row>
    <row r="5" spans="1:14" x14ac:dyDescent="0.25">
      <c r="A5" s="13" t="s">
        <v>49</v>
      </c>
      <c r="B5" s="14" t="s">
        <v>50</v>
      </c>
    </row>
    <row r="6" spans="1:14" x14ac:dyDescent="0.25">
      <c r="A6" s="13" t="s">
        <v>14</v>
      </c>
      <c r="B6" s="15">
        <v>46038.340277777781</v>
      </c>
    </row>
    <row r="8" spans="1:14" ht="19.5" customHeight="1" x14ac:dyDescent="0.25">
      <c r="A8" s="27" t="s">
        <v>51</v>
      </c>
      <c r="B8" s="28"/>
      <c r="C8" s="28"/>
      <c r="D8" s="29"/>
    </row>
    <row r="9" spans="1:14" x14ac:dyDescent="0.25">
      <c r="A9" s="16" t="s">
        <v>8</v>
      </c>
      <c r="B9" s="3">
        <f>COUNTIF(B24:B51,"BUG")</f>
        <v>10</v>
      </c>
    </row>
    <row r="10" spans="1:14" x14ac:dyDescent="0.25">
      <c r="A10" s="16" t="s">
        <v>9</v>
      </c>
      <c r="B10" s="3">
        <f>COUNTIF(B24:B51,"VULNERABILITY")</f>
        <v>0</v>
      </c>
    </row>
    <row r="11" spans="1:14" x14ac:dyDescent="0.25">
      <c r="A11" s="16" t="s">
        <v>10</v>
      </c>
      <c r="B11" s="3">
        <f>COUNTIF(B24:B51,"CODE_SMELL")</f>
        <v>14</v>
      </c>
    </row>
    <row r="12" spans="1:14" ht="38.25" x14ac:dyDescent="0.25">
      <c r="A12" s="16" t="s">
        <v>52</v>
      </c>
      <c r="B12" s="3">
        <f>COUNTIF(B24:B51,"SECURITY_HOTSPOT")</f>
        <v>4</v>
      </c>
      <c r="C12" s="17" t="s">
        <v>53</v>
      </c>
      <c r="D12" s="18">
        <f>COUNTIF(K24:K51,"SAFE")+COUNTIF(K24:K51,"FIX")</f>
        <v>0</v>
      </c>
    </row>
    <row r="13" spans="1:14" ht="25.5" x14ac:dyDescent="0.25">
      <c r="A13" s="16" t="s">
        <v>12</v>
      </c>
      <c r="B13" s="4">
        <f>IF(B12=0,1,D12/B12)</f>
        <v>0</v>
      </c>
    </row>
    <row r="14" spans="1:14" x14ac:dyDescent="0.25">
      <c r="A14" s="16" t="s">
        <v>54</v>
      </c>
      <c r="B14" s="4">
        <f>IF(B17=0,0,B18/B17)</f>
        <v>0.29285714285714287</v>
      </c>
    </row>
    <row r="15" spans="1:14" x14ac:dyDescent="0.25">
      <c r="A15" s="16" t="s">
        <v>13</v>
      </c>
      <c r="B15" s="4">
        <v>1.2999999999999999E-2</v>
      </c>
    </row>
    <row r="16" spans="1:14" x14ac:dyDescent="0.25">
      <c r="A16" s="16" t="s">
        <v>55</v>
      </c>
      <c r="B16" s="3">
        <v>9500</v>
      </c>
    </row>
    <row r="17" spans="1:14" x14ac:dyDescent="0.25">
      <c r="A17" s="16" t="s">
        <v>5</v>
      </c>
      <c r="B17" s="3">
        <v>2800</v>
      </c>
    </row>
    <row r="18" spans="1:14" x14ac:dyDescent="0.25">
      <c r="A18" s="16" t="s">
        <v>6</v>
      </c>
      <c r="B18" s="3">
        <v>820</v>
      </c>
    </row>
    <row r="19" spans="1:14" x14ac:dyDescent="0.25">
      <c r="A19" s="16" t="s">
        <v>14</v>
      </c>
      <c r="B19" s="19">
        <v>46038.340277777781</v>
      </c>
    </row>
    <row r="21" spans="1:14" ht="15.75" customHeight="1" x14ac:dyDescent="0.25"/>
    <row r="22" spans="1:14" ht="19.5" customHeight="1" x14ac:dyDescent="0.25">
      <c r="A22" s="27" t="s">
        <v>56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9"/>
    </row>
    <row r="23" spans="1:14" ht="18" customHeight="1" x14ac:dyDescent="0.25">
      <c r="A23" s="20" t="s">
        <v>57</v>
      </c>
      <c r="B23" s="20" t="s">
        <v>58</v>
      </c>
      <c r="C23" s="20" t="s">
        <v>59</v>
      </c>
      <c r="D23" s="20" t="s">
        <v>60</v>
      </c>
      <c r="E23" s="20" t="s">
        <v>61</v>
      </c>
      <c r="F23" s="20" t="s">
        <v>62</v>
      </c>
      <c r="G23" s="20" t="s">
        <v>63</v>
      </c>
      <c r="H23" s="20" t="s">
        <v>64</v>
      </c>
      <c r="I23" s="20" t="s">
        <v>65</v>
      </c>
      <c r="J23" s="20" t="s">
        <v>66</v>
      </c>
      <c r="K23" s="20" t="s">
        <v>67</v>
      </c>
      <c r="L23" s="20" t="s">
        <v>68</v>
      </c>
      <c r="M23" s="20" t="s">
        <v>69</v>
      </c>
      <c r="N23" s="20" t="s">
        <v>70</v>
      </c>
    </row>
    <row r="24" spans="1:14" ht="15.75" customHeight="1" x14ac:dyDescent="0.25">
      <c r="A24" s="21" t="s">
        <v>71</v>
      </c>
      <c r="B24" s="21" t="s">
        <v>72</v>
      </c>
      <c r="C24" s="21" t="s">
        <v>73</v>
      </c>
      <c r="D24" s="21" t="s">
        <v>74</v>
      </c>
      <c r="E24" s="21" t="s">
        <v>75</v>
      </c>
      <c r="F24" s="21" t="s">
        <v>76</v>
      </c>
      <c r="G24" s="22">
        <v>204</v>
      </c>
      <c r="H24" s="21" t="s">
        <v>77</v>
      </c>
      <c r="I24" s="22">
        <v>5</v>
      </c>
      <c r="J24" s="21" t="s">
        <v>78</v>
      </c>
      <c r="K24" s="21"/>
      <c r="L24" s="23">
        <v>46027.708333333343</v>
      </c>
      <c r="M24" s="23">
        <v>46037.916666666657</v>
      </c>
      <c r="N24" s="21" t="s">
        <v>79</v>
      </c>
    </row>
    <row r="25" spans="1:14" ht="15.75" customHeight="1" x14ac:dyDescent="0.25">
      <c r="A25" s="21" t="s">
        <v>80</v>
      </c>
      <c r="B25" s="21" t="s">
        <v>81</v>
      </c>
      <c r="C25" s="21" t="s">
        <v>82</v>
      </c>
      <c r="D25" s="21" t="s">
        <v>74</v>
      </c>
      <c r="E25" s="21" t="s">
        <v>83</v>
      </c>
      <c r="F25" s="21" t="s">
        <v>76</v>
      </c>
      <c r="G25" s="22">
        <v>315</v>
      </c>
      <c r="H25" s="21" t="s">
        <v>84</v>
      </c>
      <c r="I25" s="22">
        <v>90</v>
      </c>
      <c r="J25" s="21" t="s">
        <v>85</v>
      </c>
      <c r="K25" s="21"/>
      <c r="L25" s="23">
        <v>46017.083333333343</v>
      </c>
      <c r="M25" s="23">
        <v>46017.291666666657</v>
      </c>
      <c r="N25" s="21" t="s">
        <v>86</v>
      </c>
    </row>
    <row r="26" spans="1:14" ht="15.75" customHeight="1" x14ac:dyDescent="0.25">
      <c r="A26" s="21" t="s">
        <v>87</v>
      </c>
      <c r="B26" s="21" t="s">
        <v>81</v>
      </c>
      <c r="C26" s="21" t="s">
        <v>73</v>
      </c>
      <c r="D26" s="21" t="s">
        <v>88</v>
      </c>
      <c r="E26" s="21" t="s">
        <v>83</v>
      </c>
      <c r="F26" s="21" t="s">
        <v>89</v>
      </c>
      <c r="G26" s="22">
        <v>303</v>
      </c>
      <c r="H26" s="21" t="s">
        <v>84</v>
      </c>
      <c r="I26" s="22">
        <v>30</v>
      </c>
      <c r="J26" s="21" t="s">
        <v>90</v>
      </c>
      <c r="K26" s="21"/>
      <c r="L26" s="23">
        <v>46023.333333333343</v>
      </c>
      <c r="M26" s="23">
        <v>46038.333333333343</v>
      </c>
      <c r="N26" s="21" t="s">
        <v>91</v>
      </c>
    </row>
    <row r="27" spans="1:14" ht="15.75" customHeight="1" x14ac:dyDescent="0.25">
      <c r="A27" s="21" t="s">
        <v>92</v>
      </c>
      <c r="B27" s="21" t="s">
        <v>81</v>
      </c>
      <c r="C27" s="21" t="s">
        <v>93</v>
      </c>
      <c r="D27" s="21" t="s">
        <v>88</v>
      </c>
      <c r="E27" s="21" t="s">
        <v>94</v>
      </c>
      <c r="F27" s="21" t="s">
        <v>89</v>
      </c>
      <c r="G27" s="22">
        <v>403</v>
      </c>
      <c r="H27" s="21" t="s">
        <v>84</v>
      </c>
      <c r="I27" s="22">
        <v>60</v>
      </c>
      <c r="J27" s="21" t="s">
        <v>95</v>
      </c>
      <c r="K27" s="21"/>
      <c r="L27" s="23">
        <v>46025.541666666657</v>
      </c>
      <c r="M27" s="23">
        <v>46040.875</v>
      </c>
      <c r="N27" s="21" t="s">
        <v>91</v>
      </c>
    </row>
    <row r="28" spans="1:14" ht="15.75" customHeight="1" x14ac:dyDescent="0.25">
      <c r="A28" s="21" t="s">
        <v>96</v>
      </c>
      <c r="B28" s="21" t="s">
        <v>72</v>
      </c>
      <c r="C28" s="21" t="s">
        <v>82</v>
      </c>
      <c r="D28" s="21" t="s">
        <v>88</v>
      </c>
      <c r="E28" s="21" t="s">
        <v>97</v>
      </c>
      <c r="F28" s="21" t="s">
        <v>98</v>
      </c>
      <c r="G28" s="22">
        <v>97</v>
      </c>
      <c r="H28" s="21" t="s">
        <v>77</v>
      </c>
      <c r="I28" s="22">
        <v>90</v>
      </c>
      <c r="J28" s="21" t="s">
        <v>99</v>
      </c>
      <c r="K28" s="21"/>
      <c r="L28" s="23">
        <v>46014.416666666657</v>
      </c>
      <c r="M28" s="23">
        <v>46026.458333333343</v>
      </c>
      <c r="N28" s="21" t="s">
        <v>100</v>
      </c>
    </row>
    <row r="29" spans="1:14" ht="15.75" customHeight="1" x14ac:dyDescent="0.25">
      <c r="A29" s="21" t="s">
        <v>101</v>
      </c>
      <c r="B29" s="21" t="s">
        <v>81</v>
      </c>
      <c r="C29" s="21" t="s">
        <v>82</v>
      </c>
      <c r="D29" s="21" t="s">
        <v>74</v>
      </c>
      <c r="E29" s="21" t="s">
        <v>83</v>
      </c>
      <c r="F29" s="21" t="s">
        <v>102</v>
      </c>
      <c r="G29" s="22">
        <v>217</v>
      </c>
      <c r="H29" s="21" t="s">
        <v>84</v>
      </c>
      <c r="I29" s="22">
        <v>90</v>
      </c>
      <c r="J29" s="21" t="s">
        <v>103</v>
      </c>
      <c r="K29" s="21"/>
      <c r="L29" s="23">
        <v>46027.666666666657</v>
      </c>
      <c r="M29" s="23">
        <v>46028.833333333343</v>
      </c>
      <c r="N29" s="21" t="s">
        <v>79</v>
      </c>
    </row>
    <row r="30" spans="1:14" ht="15.75" customHeight="1" x14ac:dyDescent="0.25">
      <c r="A30" s="21" t="s">
        <v>104</v>
      </c>
      <c r="B30" s="21" t="s">
        <v>105</v>
      </c>
      <c r="C30" s="21" t="s">
        <v>93</v>
      </c>
      <c r="D30" s="21" t="s">
        <v>88</v>
      </c>
      <c r="E30" s="21" t="s">
        <v>106</v>
      </c>
      <c r="F30" s="21" t="s">
        <v>76</v>
      </c>
      <c r="G30" s="22">
        <v>78</v>
      </c>
      <c r="H30" s="21" t="s">
        <v>107</v>
      </c>
      <c r="I30" s="22">
        <v>45</v>
      </c>
      <c r="J30" s="21" t="s">
        <v>108</v>
      </c>
      <c r="K30" s="21" t="s">
        <v>109</v>
      </c>
      <c r="L30" s="23">
        <v>46022.25</v>
      </c>
      <c r="M30" s="23">
        <v>46022.416666666657</v>
      </c>
      <c r="N30" s="21" t="s">
        <v>91</v>
      </c>
    </row>
    <row r="31" spans="1:14" ht="15.75" customHeight="1" x14ac:dyDescent="0.25">
      <c r="A31" s="21" t="s">
        <v>110</v>
      </c>
      <c r="B31" s="21" t="s">
        <v>72</v>
      </c>
      <c r="C31" s="21" t="s">
        <v>93</v>
      </c>
      <c r="D31" s="21" t="s">
        <v>74</v>
      </c>
      <c r="E31" s="21" t="s">
        <v>111</v>
      </c>
      <c r="F31" s="21" t="s">
        <v>76</v>
      </c>
      <c r="G31" s="22">
        <v>417</v>
      </c>
      <c r="H31" s="21" t="s">
        <v>77</v>
      </c>
      <c r="I31" s="22">
        <v>60</v>
      </c>
      <c r="J31" s="21" t="s">
        <v>112</v>
      </c>
      <c r="K31" s="21"/>
      <c r="L31" s="23">
        <v>46027.5</v>
      </c>
      <c r="M31" s="23">
        <v>46029.833333333343</v>
      </c>
      <c r="N31" s="21" t="s">
        <v>86</v>
      </c>
    </row>
    <row r="32" spans="1:14" ht="15.75" customHeight="1" x14ac:dyDescent="0.25">
      <c r="A32" s="21" t="s">
        <v>113</v>
      </c>
      <c r="B32" s="21" t="s">
        <v>72</v>
      </c>
      <c r="C32" s="21" t="s">
        <v>93</v>
      </c>
      <c r="D32" s="21" t="s">
        <v>74</v>
      </c>
      <c r="E32" s="21" t="s">
        <v>75</v>
      </c>
      <c r="F32" s="21" t="s">
        <v>102</v>
      </c>
      <c r="G32" s="22">
        <v>224</v>
      </c>
      <c r="H32" s="21" t="s">
        <v>77</v>
      </c>
      <c r="I32" s="22">
        <v>20</v>
      </c>
      <c r="J32" s="21" t="s">
        <v>114</v>
      </c>
      <c r="K32" s="21"/>
      <c r="L32" s="23">
        <v>45997.916666666657</v>
      </c>
      <c r="M32" s="23">
        <v>46002.125</v>
      </c>
      <c r="N32" s="21" t="s">
        <v>86</v>
      </c>
    </row>
    <row r="33" spans="1:14" ht="15.75" customHeight="1" x14ac:dyDescent="0.25">
      <c r="A33" s="21" t="s">
        <v>115</v>
      </c>
      <c r="B33" s="21" t="s">
        <v>81</v>
      </c>
      <c r="C33" s="21" t="s">
        <v>93</v>
      </c>
      <c r="D33" s="21" t="s">
        <v>88</v>
      </c>
      <c r="E33" s="21" t="s">
        <v>83</v>
      </c>
      <c r="F33" s="21" t="s">
        <v>89</v>
      </c>
      <c r="G33" s="22">
        <v>198</v>
      </c>
      <c r="H33" s="21" t="s">
        <v>84</v>
      </c>
      <c r="I33" s="22">
        <v>10</v>
      </c>
      <c r="J33" s="21" t="s">
        <v>116</v>
      </c>
      <c r="K33" s="21"/>
      <c r="L33" s="23">
        <v>46001.708333333343</v>
      </c>
      <c r="M33" s="23">
        <v>46012.041666666657</v>
      </c>
      <c r="N33" s="21" t="s">
        <v>79</v>
      </c>
    </row>
    <row r="34" spans="1:14" ht="15.75" customHeight="1" x14ac:dyDescent="0.25">
      <c r="A34" s="21" t="s">
        <v>117</v>
      </c>
      <c r="B34" s="21" t="s">
        <v>81</v>
      </c>
      <c r="C34" s="21" t="s">
        <v>93</v>
      </c>
      <c r="D34" s="21" t="s">
        <v>74</v>
      </c>
      <c r="E34" s="21" t="s">
        <v>83</v>
      </c>
      <c r="F34" s="21" t="s">
        <v>89</v>
      </c>
      <c r="G34" s="22">
        <v>165</v>
      </c>
      <c r="H34" s="21" t="s">
        <v>84</v>
      </c>
      <c r="I34" s="22">
        <v>45</v>
      </c>
      <c r="J34" s="21" t="s">
        <v>118</v>
      </c>
      <c r="K34" s="21"/>
      <c r="L34" s="23">
        <v>46020</v>
      </c>
      <c r="M34" s="23">
        <v>46025.333333333343</v>
      </c>
      <c r="N34" s="21" t="s">
        <v>119</v>
      </c>
    </row>
    <row r="35" spans="1:14" ht="15.75" customHeight="1" x14ac:dyDescent="0.25">
      <c r="A35" s="21" t="s">
        <v>120</v>
      </c>
      <c r="B35" s="21" t="s">
        <v>72</v>
      </c>
      <c r="C35" s="21" t="s">
        <v>82</v>
      </c>
      <c r="D35" s="21" t="s">
        <v>74</v>
      </c>
      <c r="E35" s="21" t="s">
        <v>97</v>
      </c>
      <c r="F35" s="21" t="s">
        <v>98</v>
      </c>
      <c r="G35" s="22">
        <v>57</v>
      </c>
      <c r="H35" s="21" t="s">
        <v>77</v>
      </c>
      <c r="I35" s="22">
        <v>45</v>
      </c>
      <c r="J35" s="21" t="s">
        <v>121</v>
      </c>
      <c r="K35" s="21"/>
      <c r="L35" s="23">
        <v>46010.666666666657</v>
      </c>
      <c r="M35" s="23">
        <v>46017.791666666657</v>
      </c>
      <c r="N35" s="21" t="s">
        <v>91</v>
      </c>
    </row>
    <row r="36" spans="1:14" ht="15.75" customHeight="1" x14ac:dyDescent="0.25">
      <c r="A36" s="21" t="s">
        <v>122</v>
      </c>
      <c r="B36" s="21" t="s">
        <v>72</v>
      </c>
      <c r="C36" s="21" t="s">
        <v>93</v>
      </c>
      <c r="D36" s="21" t="s">
        <v>74</v>
      </c>
      <c r="E36" s="21" t="s">
        <v>75</v>
      </c>
      <c r="F36" s="21" t="s">
        <v>102</v>
      </c>
      <c r="G36" s="22">
        <v>147</v>
      </c>
      <c r="H36" s="21" t="s">
        <v>77</v>
      </c>
      <c r="I36" s="22">
        <v>10</v>
      </c>
      <c r="J36" s="21" t="s">
        <v>123</v>
      </c>
      <c r="K36" s="21"/>
      <c r="L36" s="23">
        <v>46029.291666666657</v>
      </c>
      <c r="M36" s="23">
        <v>46031.5</v>
      </c>
      <c r="N36" s="21" t="s">
        <v>91</v>
      </c>
    </row>
    <row r="37" spans="1:14" ht="15.75" customHeight="1" x14ac:dyDescent="0.25">
      <c r="A37" s="21" t="s">
        <v>124</v>
      </c>
      <c r="B37" s="21" t="s">
        <v>72</v>
      </c>
      <c r="C37" s="21" t="s">
        <v>125</v>
      </c>
      <c r="D37" s="21" t="s">
        <v>74</v>
      </c>
      <c r="E37" s="21" t="s">
        <v>111</v>
      </c>
      <c r="F37" s="21" t="s">
        <v>76</v>
      </c>
      <c r="G37" s="22">
        <v>141</v>
      </c>
      <c r="H37" s="21" t="s">
        <v>77</v>
      </c>
      <c r="I37" s="22">
        <v>20</v>
      </c>
      <c r="J37" s="21" t="s">
        <v>126</v>
      </c>
      <c r="K37" s="21"/>
      <c r="L37" s="23">
        <v>46029.625</v>
      </c>
      <c r="M37" s="23">
        <v>46039.875</v>
      </c>
      <c r="N37" s="21" t="s">
        <v>119</v>
      </c>
    </row>
    <row r="38" spans="1:14" ht="15.75" customHeight="1" x14ac:dyDescent="0.25">
      <c r="A38" s="21" t="s">
        <v>127</v>
      </c>
      <c r="B38" s="21" t="s">
        <v>81</v>
      </c>
      <c r="C38" s="21" t="s">
        <v>82</v>
      </c>
      <c r="D38" s="21" t="s">
        <v>128</v>
      </c>
      <c r="E38" s="21" t="s">
        <v>83</v>
      </c>
      <c r="F38" s="21" t="s">
        <v>98</v>
      </c>
      <c r="G38" s="22">
        <v>366</v>
      </c>
      <c r="H38" s="21" t="s">
        <v>84</v>
      </c>
      <c r="I38" s="22">
        <v>90</v>
      </c>
      <c r="J38" s="21" t="s">
        <v>129</v>
      </c>
      <c r="K38" s="21"/>
      <c r="L38" s="23">
        <v>46030.125</v>
      </c>
      <c r="M38" s="23">
        <v>46031.333333333343</v>
      </c>
      <c r="N38" s="21" t="s">
        <v>91</v>
      </c>
    </row>
    <row r="39" spans="1:14" ht="15.75" customHeight="1" x14ac:dyDescent="0.25">
      <c r="A39" s="21" t="s">
        <v>130</v>
      </c>
      <c r="B39" s="21" t="s">
        <v>72</v>
      </c>
      <c r="C39" s="21" t="s">
        <v>93</v>
      </c>
      <c r="D39" s="21" t="s">
        <v>88</v>
      </c>
      <c r="E39" s="21" t="s">
        <v>75</v>
      </c>
      <c r="F39" s="21" t="s">
        <v>102</v>
      </c>
      <c r="G39" s="22">
        <v>205</v>
      </c>
      <c r="H39" s="21" t="s">
        <v>77</v>
      </c>
      <c r="I39" s="22">
        <v>30</v>
      </c>
      <c r="J39" s="21" t="s">
        <v>131</v>
      </c>
      <c r="K39" s="21"/>
      <c r="L39" s="23">
        <v>45996.541666666657</v>
      </c>
      <c r="M39" s="23">
        <v>46008.875</v>
      </c>
      <c r="N39" s="21" t="s">
        <v>79</v>
      </c>
    </row>
    <row r="40" spans="1:14" ht="15.75" customHeight="1" x14ac:dyDescent="0.25">
      <c r="A40" s="21" t="s">
        <v>132</v>
      </c>
      <c r="B40" s="21" t="s">
        <v>105</v>
      </c>
      <c r="C40" s="21" t="s">
        <v>73</v>
      </c>
      <c r="D40" s="21" t="s">
        <v>74</v>
      </c>
      <c r="E40" s="21" t="s">
        <v>133</v>
      </c>
      <c r="F40" s="21" t="s">
        <v>98</v>
      </c>
      <c r="G40" s="22">
        <v>38</v>
      </c>
      <c r="H40" s="21" t="s">
        <v>107</v>
      </c>
      <c r="I40" s="22">
        <v>10</v>
      </c>
      <c r="J40" s="21" t="s">
        <v>134</v>
      </c>
      <c r="K40" s="21" t="s">
        <v>109</v>
      </c>
      <c r="L40" s="23">
        <v>46017.041666666657</v>
      </c>
      <c r="M40" s="23">
        <v>46029.208333333343</v>
      </c>
      <c r="N40" s="21" t="s">
        <v>100</v>
      </c>
    </row>
    <row r="41" spans="1:14" ht="15.75" customHeight="1" x14ac:dyDescent="0.25">
      <c r="A41" s="21" t="s">
        <v>135</v>
      </c>
      <c r="B41" s="21" t="s">
        <v>81</v>
      </c>
      <c r="C41" s="21" t="s">
        <v>93</v>
      </c>
      <c r="D41" s="21" t="s">
        <v>74</v>
      </c>
      <c r="E41" s="21" t="s">
        <v>136</v>
      </c>
      <c r="F41" s="21" t="s">
        <v>89</v>
      </c>
      <c r="G41" s="22">
        <v>266</v>
      </c>
      <c r="H41" s="21" t="s">
        <v>84</v>
      </c>
      <c r="I41" s="22">
        <v>15</v>
      </c>
      <c r="J41" s="21" t="s">
        <v>137</v>
      </c>
      <c r="K41" s="21"/>
      <c r="L41" s="23">
        <v>46029.333333333343</v>
      </c>
      <c r="M41" s="23">
        <v>46039.333333333343</v>
      </c>
      <c r="N41" s="21" t="s">
        <v>86</v>
      </c>
    </row>
    <row r="42" spans="1:14" ht="15.75" customHeight="1" x14ac:dyDescent="0.25">
      <c r="A42" s="21" t="s">
        <v>138</v>
      </c>
      <c r="B42" s="21" t="s">
        <v>81</v>
      </c>
      <c r="C42" s="21" t="s">
        <v>82</v>
      </c>
      <c r="D42" s="21" t="s">
        <v>74</v>
      </c>
      <c r="E42" s="21" t="s">
        <v>94</v>
      </c>
      <c r="F42" s="21" t="s">
        <v>89</v>
      </c>
      <c r="G42" s="22">
        <v>287</v>
      </c>
      <c r="H42" s="21" t="s">
        <v>84</v>
      </c>
      <c r="I42" s="22">
        <v>5</v>
      </c>
      <c r="J42" s="21" t="s">
        <v>139</v>
      </c>
      <c r="K42" s="21"/>
      <c r="L42" s="23">
        <v>46002.416666666657</v>
      </c>
      <c r="M42" s="23">
        <v>46013.541666666657</v>
      </c>
      <c r="N42" s="21" t="s">
        <v>100</v>
      </c>
    </row>
    <row r="43" spans="1:14" ht="15.75" customHeight="1" x14ac:dyDescent="0.25">
      <c r="A43" s="21" t="s">
        <v>140</v>
      </c>
      <c r="B43" s="21" t="s">
        <v>105</v>
      </c>
      <c r="C43" s="21" t="s">
        <v>141</v>
      </c>
      <c r="D43" s="21" t="s">
        <v>142</v>
      </c>
      <c r="E43" s="21" t="s">
        <v>106</v>
      </c>
      <c r="F43" s="21" t="s">
        <v>76</v>
      </c>
      <c r="G43" s="22">
        <v>139</v>
      </c>
      <c r="H43" s="21" t="s">
        <v>107</v>
      </c>
      <c r="I43" s="22">
        <v>60</v>
      </c>
      <c r="J43" s="21" t="s">
        <v>143</v>
      </c>
      <c r="K43" s="21" t="s">
        <v>109</v>
      </c>
      <c r="L43" s="23">
        <v>46011.208333333343</v>
      </c>
      <c r="M43" s="23">
        <v>46024.416666666657</v>
      </c>
      <c r="N43" s="21" t="s">
        <v>86</v>
      </c>
    </row>
    <row r="44" spans="1:14" ht="15.75" customHeight="1" x14ac:dyDescent="0.25">
      <c r="A44" s="21" t="s">
        <v>144</v>
      </c>
      <c r="B44" s="21" t="s">
        <v>72</v>
      </c>
      <c r="C44" s="21" t="s">
        <v>93</v>
      </c>
      <c r="D44" s="21" t="s">
        <v>88</v>
      </c>
      <c r="E44" s="21" t="s">
        <v>97</v>
      </c>
      <c r="F44" s="21" t="s">
        <v>102</v>
      </c>
      <c r="G44" s="22">
        <v>165</v>
      </c>
      <c r="H44" s="21" t="s">
        <v>77</v>
      </c>
      <c r="I44" s="22">
        <v>120</v>
      </c>
      <c r="J44" s="21" t="s">
        <v>145</v>
      </c>
      <c r="K44" s="21"/>
      <c r="L44" s="23">
        <v>46024.583333333343</v>
      </c>
      <c r="M44" s="23">
        <v>46031.75</v>
      </c>
      <c r="N44" s="21" t="s">
        <v>86</v>
      </c>
    </row>
    <row r="45" spans="1:14" ht="15.75" customHeight="1" x14ac:dyDescent="0.25">
      <c r="A45" s="21" t="s">
        <v>146</v>
      </c>
      <c r="B45" s="21" t="s">
        <v>81</v>
      </c>
      <c r="C45" s="21" t="s">
        <v>93</v>
      </c>
      <c r="D45" s="21" t="s">
        <v>88</v>
      </c>
      <c r="E45" s="21" t="s">
        <v>136</v>
      </c>
      <c r="F45" s="21" t="s">
        <v>76</v>
      </c>
      <c r="G45" s="22">
        <v>335</v>
      </c>
      <c r="H45" s="21" t="s">
        <v>84</v>
      </c>
      <c r="I45" s="22">
        <v>5</v>
      </c>
      <c r="J45" s="21" t="s">
        <v>147</v>
      </c>
      <c r="K45" s="21"/>
      <c r="L45" s="23">
        <v>46018.541666666657</v>
      </c>
      <c r="M45" s="23">
        <v>46032.583333333343</v>
      </c>
      <c r="N45" s="21" t="s">
        <v>119</v>
      </c>
    </row>
    <row r="46" spans="1:14" ht="15.75" customHeight="1" x14ac:dyDescent="0.25">
      <c r="A46" s="21" t="s">
        <v>148</v>
      </c>
      <c r="B46" s="21" t="s">
        <v>81</v>
      </c>
      <c r="C46" s="21" t="s">
        <v>93</v>
      </c>
      <c r="D46" s="21" t="s">
        <v>74</v>
      </c>
      <c r="E46" s="21" t="s">
        <v>94</v>
      </c>
      <c r="F46" s="21" t="s">
        <v>102</v>
      </c>
      <c r="G46" s="22">
        <v>29</v>
      </c>
      <c r="H46" s="21" t="s">
        <v>84</v>
      </c>
      <c r="I46" s="22">
        <v>5</v>
      </c>
      <c r="J46" s="21" t="s">
        <v>149</v>
      </c>
      <c r="K46" s="21"/>
      <c r="L46" s="23">
        <v>46008.25</v>
      </c>
      <c r="M46" s="23">
        <v>46010.5</v>
      </c>
      <c r="N46" s="21" t="s">
        <v>86</v>
      </c>
    </row>
    <row r="47" spans="1:14" ht="15.75" customHeight="1" x14ac:dyDescent="0.25">
      <c r="A47" s="21" t="s">
        <v>150</v>
      </c>
      <c r="B47" s="21" t="s">
        <v>72</v>
      </c>
      <c r="C47" s="21" t="s">
        <v>125</v>
      </c>
      <c r="D47" s="21" t="s">
        <v>74</v>
      </c>
      <c r="E47" s="21" t="s">
        <v>111</v>
      </c>
      <c r="F47" s="21" t="s">
        <v>98</v>
      </c>
      <c r="G47" s="22">
        <v>105</v>
      </c>
      <c r="H47" s="21" t="s">
        <v>77</v>
      </c>
      <c r="I47" s="22">
        <v>20</v>
      </c>
      <c r="J47" s="21" t="s">
        <v>78</v>
      </c>
      <c r="K47" s="21"/>
      <c r="L47" s="23">
        <v>46012.125</v>
      </c>
      <c r="M47" s="23">
        <v>46021.333333333343</v>
      </c>
      <c r="N47" s="21" t="s">
        <v>119</v>
      </c>
    </row>
    <row r="48" spans="1:14" ht="15.75" customHeight="1" x14ac:dyDescent="0.25">
      <c r="A48" s="21" t="s">
        <v>151</v>
      </c>
      <c r="B48" s="21" t="s">
        <v>81</v>
      </c>
      <c r="C48" s="21" t="s">
        <v>93</v>
      </c>
      <c r="D48" s="21" t="s">
        <v>74</v>
      </c>
      <c r="E48" s="21" t="s">
        <v>136</v>
      </c>
      <c r="F48" s="21" t="s">
        <v>89</v>
      </c>
      <c r="G48" s="22">
        <v>210</v>
      </c>
      <c r="H48" s="21" t="s">
        <v>84</v>
      </c>
      <c r="I48" s="22">
        <v>90</v>
      </c>
      <c r="J48" s="21" t="s">
        <v>152</v>
      </c>
      <c r="K48" s="21"/>
      <c r="L48" s="23">
        <v>46028.25</v>
      </c>
      <c r="M48" s="23">
        <v>46040.291666666657</v>
      </c>
      <c r="N48" s="21" t="s">
        <v>86</v>
      </c>
    </row>
    <row r="49" spans="1:14" ht="15.75" customHeight="1" x14ac:dyDescent="0.25">
      <c r="A49" s="21" t="s">
        <v>153</v>
      </c>
      <c r="B49" s="21" t="s">
        <v>81</v>
      </c>
      <c r="C49" s="21" t="s">
        <v>125</v>
      </c>
      <c r="D49" s="21" t="s">
        <v>74</v>
      </c>
      <c r="E49" s="21" t="s">
        <v>83</v>
      </c>
      <c r="F49" s="21" t="s">
        <v>98</v>
      </c>
      <c r="G49" s="22">
        <v>292</v>
      </c>
      <c r="H49" s="21" t="s">
        <v>84</v>
      </c>
      <c r="I49" s="22">
        <v>45</v>
      </c>
      <c r="J49" s="21" t="s">
        <v>154</v>
      </c>
      <c r="K49" s="21"/>
      <c r="L49" s="23">
        <v>46032</v>
      </c>
      <c r="M49" s="23">
        <v>46046.333333333343</v>
      </c>
      <c r="N49" s="21" t="s">
        <v>91</v>
      </c>
    </row>
    <row r="50" spans="1:14" ht="15.75" customHeight="1" x14ac:dyDescent="0.25">
      <c r="A50" s="21" t="s">
        <v>155</v>
      </c>
      <c r="B50" s="21" t="s">
        <v>105</v>
      </c>
      <c r="C50" s="21" t="s">
        <v>73</v>
      </c>
      <c r="D50" s="21" t="s">
        <v>88</v>
      </c>
      <c r="E50" s="21" t="s">
        <v>106</v>
      </c>
      <c r="F50" s="21" t="s">
        <v>156</v>
      </c>
      <c r="G50" s="22">
        <v>350</v>
      </c>
      <c r="H50" s="21" t="s">
        <v>107</v>
      </c>
      <c r="I50" s="22">
        <v>60</v>
      </c>
      <c r="J50" s="21" t="s">
        <v>152</v>
      </c>
      <c r="K50" s="21" t="s">
        <v>109</v>
      </c>
      <c r="L50" s="23">
        <v>46013.958333333343</v>
      </c>
      <c r="M50" s="23">
        <v>46016.083333333343</v>
      </c>
      <c r="N50" s="21" t="s">
        <v>79</v>
      </c>
    </row>
    <row r="51" spans="1:14" ht="15.75" customHeight="1" x14ac:dyDescent="0.25">
      <c r="A51" s="21" t="s">
        <v>157</v>
      </c>
      <c r="B51" s="21" t="s">
        <v>81</v>
      </c>
      <c r="C51" s="21" t="s">
        <v>93</v>
      </c>
      <c r="D51" s="21" t="s">
        <v>88</v>
      </c>
      <c r="E51" s="21" t="s">
        <v>83</v>
      </c>
      <c r="F51" s="21" t="s">
        <v>76</v>
      </c>
      <c r="G51" s="22">
        <v>60</v>
      </c>
      <c r="H51" s="21" t="s">
        <v>84</v>
      </c>
      <c r="I51" s="22">
        <v>20</v>
      </c>
      <c r="J51" s="21" t="s">
        <v>126</v>
      </c>
      <c r="K51" s="21"/>
      <c r="L51" s="23">
        <v>46002.291666666657</v>
      </c>
      <c r="M51" s="23">
        <v>46016.541666666657</v>
      </c>
      <c r="N51" s="21" t="s">
        <v>100</v>
      </c>
    </row>
    <row r="52" spans="1:14" ht="15.75" customHeight="1" x14ac:dyDescent="0.25"/>
    <row r="53" spans="1:14" ht="15.75" customHeight="1" x14ac:dyDescent="0.25"/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N1"/>
    <mergeCell ref="A8:D8"/>
    <mergeCell ref="A22:N22"/>
  </mergeCells>
  <conditionalFormatting sqref="B9:B12">
    <cfRule type="cellIs" dxfId="2" priority="1" operator="greaterThanOrEqual">
      <formula>10</formula>
    </cfRule>
  </conditionalFormatting>
  <conditionalFormatting sqref="B13">
    <cfRule type="cellIs" dxfId="1" priority="3" operator="lessThan">
      <formula>0.8</formula>
    </cfRule>
  </conditionalFormatting>
  <conditionalFormatting sqref="B14">
    <cfRule type="cellIs" dxfId="0" priority="2" operator="lessThan">
      <formula>0.5</formula>
    </cfRule>
  </conditionalFormatting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README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2026-01-16T09:05:48Z</dcterms:created>
  <dcterms:modified xsi:type="dcterms:W3CDTF">2026-01-20T21:00:51Z</dcterms:modified>
</cp:coreProperties>
</file>